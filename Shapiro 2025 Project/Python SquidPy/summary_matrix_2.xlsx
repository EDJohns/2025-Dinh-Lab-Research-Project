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johns\Documents\GitHub\2025-Dinh-Lab-Research-Project\Shapiro 2025 Project\Python SquidPy\"/>
    </mc:Choice>
  </mc:AlternateContent>
  <xr:revisionPtr revIDLastSave="0" documentId="13_ncr:1_{23F7169A-2398-4C64-9F63-47921DAA09C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Sheet1!$A$1:$K$67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P5" i="1"/>
  <c r="R5" i="1"/>
  <c r="O5" i="1"/>
  <c r="P4" i="1"/>
  <c r="Q4" i="1"/>
  <c r="R4" i="1"/>
  <c r="O4" i="1"/>
  <c r="P12" i="1"/>
  <c r="Q12" i="1"/>
  <c r="R12" i="1"/>
  <c r="O12" i="1"/>
  <c r="P11" i="1"/>
  <c r="Q11" i="1"/>
  <c r="R11" i="1"/>
  <c r="O11" i="1"/>
</calcChain>
</file>

<file path=xl/sharedStrings.xml><?xml version="1.0" encoding="utf-8"?>
<sst xmlns="http://schemas.openxmlformats.org/spreadsheetml/2006/main" count="157" uniqueCount="87">
  <si>
    <t>Sample ID</t>
  </si>
  <si>
    <t>PMN Count</t>
  </si>
  <si>
    <t>Responder Status</t>
  </si>
  <si>
    <t>Avg Min CD4 Distance</t>
  </si>
  <si>
    <t>Avg Min CD8 Distance</t>
  </si>
  <si>
    <t>Avg Min Treg Distance</t>
  </si>
  <si>
    <t>Average Min Tumor Distance</t>
  </si>
  <si>
    <t>Avg CD4 Distance</t>
  </si>
  <si>
    <t>Avg CD8 Distance</t>
  </si>
  <si>
    <t>Avg Treg Distance</t>
  </si>
  <si>
    <t>Average Tumor Distance</t>
  </si>
  <si>
    <t>c_1_1_</t>
  </si>
  <si>
    <t>R</t>
  </si>
  <si>
    <t>c_1_3_</t>
  </si>
  <si>
    <t>c_1_4_</t>
  </si>
  <si>
    <t>c_1_5_</t>
  </si>
  <si>
    <t>c_1_6_</t>
  </si>
  <si>
    <t>c_1_7_</t>
  </si>
  <si>
    <t>NR</t>
  </si>
  <si>
    <t>c_1_8_</t>
  </si>
  <si>
    <t>c_1_9_</t>
  </si>
  <si>
    <t>c_1_10_</t>
  </si>
  <si>
    <t>c_1_11_</t>
  </si>
  <si>
    <t>c_1_12_</t>
  </si>
  <si>
    <t>c_1_13_</t>
  </si>
  <si>
    <t>c_1_14_</t>
  </si>
  <si>
    <t>c_1_15_</t>
  </si>
  <si>
    <t>c_1_16_</t>
  </si>
  <si>
    <t>c_1_17_</t>
  </si>
  <si>
    <t>c_1_18_</t>
  </si>
  <si>
    <t>c_1_19_</t>
  </si>
  <si>
    <t>c_1_20_</t>
  </si>
  <si>
    <t>c_1_21_</t>
  </si>
  <si>
    <t>c_1_22_</t>
  </si>
  <si>
    <t>c_1_23_</t>
  </si>
  <si>
    <t>c_1_24_</t>
  </si>
  <si>
    <t>c_1_25_</t>
  </si>
  <si>
    <t>c_2_1_</t>
  </si>
  <si>
    <t>c_2_2_</t>
  </si>
  <si>
    <t>c_2_3_</t>
  </si>
  <si>
    <t>c_2_4_</t>
  </si>
  <si>
    <t>c_2_5_</t>
  </si>
  <si>
    <t>c_2_6_</t>
  </si>
  <si>
    <t>c_2_7_</t>
  </si>
  <si>
    <t>c_2_8_</t>
  </si>
  <si>
    <t>c_2_9_</t>
  </si>
  <si>
    <t>c_2_10_</t>
  </si>
  <si>
    <t>c_2_11_</t>
  </si>
  <si>
    <t>c_2_12_</t>
  </si>
  <si>
    <t>c_2_13_</t>
  </si>
  <si>
    <t>c_2_14_</t>
  </si>
  <si>
    <t>c_2_15_</t>
  </si>
  <si>
    <t>c_2_16_</t>
  </si>
  <si>
    <t>c_2_17_</t>
  </si>
  <si>
    <t>c_2_18_</t>
  </si>
  <si>
    <t>c_2_19_</t>
  </si>
  <si>
    <t>c_2_20_</t>
  </si>
  <si>
    <t>c_2_21_</t>
  </si>
  <si>
    <t>c_2_22_</t>
  </si>
  <si>
    <t>c_2_23_</t>
  </si>
  <si>
    <t>c_2_24_</t>
  </si>
  <si>
    <t>c_2_25_</t>
  </si>
  <si>
    <t>c_3_3_</t>
  </si>
  <si>
    <t>c_3_4_</t>
  </si>
  <si>
    <t>c_3_5_</t>
  </si>
  <si>
    <t>c_3_6_</t>
  </si>
  <si>
    <t>c_3_7_</t>
  </si>
  <si>
    <t>c_3_8_</t>
  </si>
  <si>
    <t>c_3_9_</t>
  </si>
  <si>
    <t>c_3_10_</t>
  </si>
  <si>
    <t>c_3_11_</t>
  </si>
  <si>
    <t>c_3_13_</t>
  </si>
  <si>
    <t>c_3_14_</t>
  </si>
  <si>
    <t>c_3_15_</t>
  </si>
  <si>
    <t>c_3_16_</t>
  </si>
  <si>
    <t>c_3_17_</t>
  </si>
  <si>
    <t>c_3_18_</t>
  </si>
  <si>
    <t>c_3_19_</t>
  </si>
  <si>
    <t>c_3_20_</t>
  </si>
  <si>
    <t>CD4</t>
  </si>
  <si>
    <t>CD8</t>
  </si>
  <si>
    <t>Treg</t>
  </si>
  <si>
    <t>Tumor</t>
  </si>
  <si>
    <t>Average R</t>
  </si>
  <si>
    <t>Average NR</t>
  </si>
  <si>
    <t>Average Distance to Closest Cell (µm)</t>
  </si>
  <si>
    <t>Average Distance to all Cells 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</si>
</sst>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tabSelected="1" topLeftCell="D1" zoomScale="145" zoomScaleNormal="145" workbookViewId="0">
      <selection activeCell="Q30" sqref="Q30"/>
    </sheetView>
  </sheetViews>
  <sheetFormatPr defaultRowHeight="14.5" x14ac:dyDescent="0.35"/>
  <cols>
    <col min="1" max="1" width="9.1796875" bestFit="1" customWidth="1"/>
    <col min="3" max="3" width="15.6328125" bestFit="1" customWidth="1"/>
    <col min="4" max="5" width="19.1796875" bestFit="1" customWidth="1"/>
    <col min="6" max="6" width="19.453125" bestFit="1" customWidth="1"/>
    <col min="7" max="7" width="25.26953125" bestFit="1" customWidth="1"/>
    <col min="8" max="9" width="15.36328125" bestFit="1" customWidth="1"/>
    <col min="10" max="10" width="15.6328125" bestFit="1" customWidth="1"/>
    <col min="11" max="11" width="21.453125" bestFit="1" customWidth="1"/>
    <col min="14" max="14" width="32" bestFit="1" customWidth="1"/>
  </cols>
  <sheetData>
    <row r="1" spans="1:18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8" ht="15" thickTop="1" x14ac:dyDescent="0.35">
      <c r="A2" t="s">
        <v>11</v>
      </c>
      <c r="B2">
        <v>55</v>
      </c>
      <c r="C2" t="s">
        <v>12</v>
      </c>
      <c r="D2">
        <v>273.97261431482508</v>
      </c>
      <c r="E2">
        <v>592.75976376991116</v>
      </c>
      <c r="F2">
        <v>631.63431928672571</v>
      </c>
      <c r="G2">
        <v>11.09033164810714</v>
      </c>
      <c r="H2">
        <v>525.35229841558646</v>
      </c>
      <c r="I2">
        <v>735.91703476727457</v>
      </c>
      <c r="J2">
        <v>651.11677388301825</v>
      </c>
      <c r="K2">
        <v>446.53266403026117</v>
      </c>
      <c r="N2" s="3" t="s">
        <v>86</v>
      </c>
      <c r="O2" s="4"/>
      <c r="P2" s="4"/>
      <c r="Q2" s="4"/>
      <c r="R2" s="5"/>
    </row>
    <row r="3" spans="1:18" x14ac:dyDescent="0.35">
      <c r="A3" t="s">
        <v>13</v>
      </c>
      <c r="B3">
        <v>6</v>
      </c>
      <c r="C3" t="s">
        <v>12</v>
      </c>
      <c r="D3">
        <v>28.753049449632279</v>
      </c>
      <c r="E3">
        <v>170.03159993613949</v>
      </c>
      <c r="F3">
        <v>106.2091395650103</v>
      </c>
      <c r="G3">
        <v>11.824233477580639</v>
      </c>
      <c r="H3">
        <v>246.33219945178351</v>
      </c>
      <c r="I3">
        <v>351.62934995614307</v>
      </c>
      <c r="J3">
        <v>224.87757847345381</v>
      </c>
      <c r="K3">
        <v>330.04118852139618</v>
      </c>
      <c r="N3" s="6"/>
      <c r="O3" s="2" t="s">
        <v>79</v>
      </c>
      <c r="P3" s="2" t="s">
        <v>80</v>
      </c>
      <c r="Q3" s="2" t="s">
        <v>81</v>
      </c>
      <c r="R3" s="7" t="s">
        <v>82</v>
      </c>
    </row>
    <row r="4" spans="1:18" x14ac:dyDescent="0.35">
      <c r="A4" t="s">
        <v>14</v>
      </c>
      <c r="B4">
        <v>12</v>
      </c>
      <c r="C4" t="s">
        <v>12</v>
      </c>
      <c r="D4">
        <v>52.528239826469722</v>
      </c>
      <c r="E4">
        <v>99.802764600779952</v>
      </c>
      <c r="F4">
        <v>73.496580181970941</v>
      </c>
      <c r="G4">
        <v>23.712366131064979</v>
      </c>
      <c r="H4">
        <v>234.94873519322709</v>
      </c>
      <c r="I4">
        <v>287.66655546377189</v>
      </c>
      <c r="J4">
        <v>248.6999194589913</v>
      </c>
      <c r="K4">
        <v>369.39595281892241</v>
      </c>
      <c r="N4" s="6" t="s">
        <v>83</v>
      </c>
      <c r="O4" s="2">
        <f>AVERAGE(H2:H34)</f>
        <v>372.02843052333685</v>
      </c>
      <c r="P4" s="2">
        <f t="shared" ref="P4:R4" si="0">AVERAGE(I2:I34)</f>
        <v>395.97629222169343</v>
      </c>
      <c r="Q4" s="2">
        <f t="shared" si="0"/>
        <v>370.63275544116249</v>
      </c>
      <c r="R4" s="7">
        <f t="shared" si="0"/>
        <v>390.79140061353661</v>
      </c>
    </row>
    <row r="5" spans="1:18" ht="15" thickBot="1" x14ac:dyDescent="0.4">
      <c r="A5" t="s">
        <v>15</v>
      </c>
      <c r="B5">
        <v>15</v>
      </c>
      <c r="C5" t="s">
        <v>12</v>
      </c>
      <c r="D5">
        <v>86.062534523483833</v>
      </c>
      <c r="E5">
        <v>150.2812737720925</v>
      </c>
      <c r="F5">
        <v>64.924672377196345</v>
      </c>
      <c r="G5">
        <v>15.37552951172589</v>
      </c>
      <c r="H5">
        <v>347.95919013079788</v>
      </c>
      <c r="I5">
        <v>392.59771262299608</v>
      </c>
      <c r="J5">
        <v>366.51077826846853</v>
      </c>
      <c r="K5">
        <v>400.52135432395301</v>
      </c>
      <c r="N5" s="8" t="s">
        <v>84</v>
      </c>
      <c r="O5" s="9">
        <f>AVERAGE(H35:H67)</f>
        <v>397.17706282568031</v>
      </c>
      <c r="P5" s="9">
        <f t="shared" ref="P5:R5" si="1">AVERAGE(I35:I67)</f>
        <v>396.66106433973192</v>
      </c>
      <c r="Q5" s="9">
        <f>AVERAGE(J8:J67)</f>
        <v>386.46294870402915</v>
      </c>
      <c r="R5" s="10">
        <f t="shared" si="1"/>
        <v>412.3701709221603</v>
      </c>
    </row>
    <row r="6" spans="1:18" ht="15" thickTop="1" x14ac:dyDescent="0.35">
      <c r="A6" t="s">
        <v>16</v>
      </c>
      <c r="B6">
        <v>23</v>
      </c>
      <c r="C6" t="s">
        <v>12</v>
      </c>
      <c r="D6">
        <v>19.640477871993308</v>
      </c>
      <c r="E6">
        <v>375.80292404107951</v>
      </c>
      <c r="F6">
        <v>74.626133853826971</v>
      </c>
      <c r="G6">
        <v>33.386715007611222</v>
      </c>
      <c r="H6">
        <v>99.011878229343452</v>
      </c>
      <c r="I6">
        <v>573.90453733631546</v>
      </c>
      <c r="J6">
        <v>74.626133853826971</v>
      </c>
      <c r="K6">
        <v>496.27649768760767</v>
      </c>
    </row>
    <row r="7" spans="1:18" x14ac:dyDescent="0.35">
      <c r="A7" t="s">
        <v>21</v>
      </c>
      <c r="B7">
        <v>9</v>
      </c>
      <c r="C7" t="s">
        <v>12</v>
      </c>
      <c r="D7">
        <v>59.507652420430787</v>
      </c>
      <c r="E7">
        <v>94.427574560927127</v>
      </c>
      <c r="G7">
        <v>27.41631011367506</v>
      </c>
      <c r="H7">
        <v>371.65706003860458</v>
      </c>
      <c r="I7">
        <v>337.34162297852117</v>
      </c>
      <c r="K7">
        <v>409.85504318097742</v>
      </c>
    </row>
    <row r="8" spans="1:18" ht="15" thickBot="1" x14ac:dyDescent="0.4">
      <c r="A8" t="s">
        <v>22</v>
      </c>
      <c r="B8">
        <v>118</v>
      </c>
      <c r="C8" t="s">
        <v>12</v>
      </c>
      <c r="D8">
        <v>51.302748247358238</v>
      </c>
      <c r="E8">
        <v>74.764000416197007</v>
      </c>
      <c r="F8">
        <v>72.36446002053934</v>
      </c>
      <c r="G8">
        <v>18.98864602292992</v>
      </c>
      <c r="H8">
        <v>373.40345026243239</v>
      </c>
      <c r="I8">
        <v>392.53826665263227</v>
      </c>
      <c r="J8">
        <v>363.70192158073212</v>
      </c>
      <c r="K8">
        <v>372.31706008587622</v>
      </c>
    </row>
    <row r="9" spans="1:18" ht="15" thickTop="1" x14ac:dyDescent="0.35">
      <c r="A9" t="s">
        <v>23</v>
      </c>
      <c r="B9">
        <v>38</v>
      </c>
      <c r="C9" t="s">
        <v>12</v>
      </c>
      <c r="D9">
        <v>33.266268562351023</v>
      </c>
      <c r="E9">
        <v>55.60825060785254</v>
      </c>
      <c r="F9">
        <v>56.348116386193098</v>
      </c>
      <c r="G9">
        <v>17.132383663955629</v>
      </c>
      <c r="H9">
        <v>372.21839935632988</v>
      </c>
      <c r="I9">
        <v>360.13145236715178</v>
      </c>
      <c r="J9">
        <v>359.95717735800213</v>
      </c>
      <c r="K9">
        <v>355.32793612225208</v>
      </c>
      <c r="N9" s="3" t="s">
        <v>85</v>
      </c>
      <c r="O9" s="4"/>
      <c r="P9" s="4"/>
      <c r="Q9" s="4"/>
      <c r="R9" s="5"/>
    </row>
    <row r="10" spans="1:18" x14ac:dyDescent="0.35">
      <c r="A10" t="s">
        <v>24</v>
      </c>
      <c r="B10">
        <v>37</v>
      </c>
      <c r="C10" t="s">
        <v>12</v>
      </c>
      <c r="D10">
        <v>154.12164705344779</v>
      </c>
      <c r="E10">
        <v>170.1422961963998</v>
      </c>
      <c r="F10">
        <v>142.6864087910603</v>
      </c>
      <c r="G10">
        <v>15.410779320906549</v>
      </c>
      <c r="H10">
        <v>449.8256929072935</v>
      </c>
      <c r="I10">
        <v>457.58429450624982</v>
      </c>
      <c r="J10">
        <v>401.80596361963222</v>
      </c>
      <c r="K10">
        <v>446.21566005514683</v>
      </c>
      <c r="N10" s="6"/>
      <c r="O10" s="2" t="s">
        <v>79</v>
      </c>
      <c r="P10" s="2" t="s">
        <v>80</v>
      </c>
      <c r="Q10" s="2" t="s">
        <v>81</v>
      </c>
      <c r="R10" s="7" t="s">
        <v>82</v>
      </c>
    </row>
    <row r="11" spans="1:18" x14ac:dyDescent="0.35">
      <c r="A11" t="s">
        <v>25</v>
      </c>
      <c r="B11">
        <v>7</v>
      </c>
      <c r="C11" t="s">
        <v>12</v>
      </c>
      <c r="D11">
        <v>39.116455608961068</v>
      </c>
      <c r="E11">
        <v>103.59108581784071</v>
      </c>
      <c r="F11">
        <v>107.05660549423411</v>
      </c>
      <c r="G11">
        <v>40.047720266079089</v>
      </c>
      <c r="H11">
        <v>276.43714232757418</v>
      </c>
      <c r="I11">
        <v>281.2925659253541</v>
      </c>
      <c r="J11">
        <v>226.33081449373759</v>
      </c>
      <c r="K11">
        <v>365.36439885079272</v>
      </c>
      <c r="N11" s="6" t="s">
        <v>83</v>
      </c>
      <c r="O11" s="2">
        <f>AVERAGE(D2:D34)</f>
        <v>67.744588763797367</v>
      </c>
      <c r="P11" s="2">
        <f t="shared" ref="P11:R11" si="2">AVERAGE(E2:E34)</f>
        <v>115.53116313522285</v>
      </c>
      <c r="Q11" s="2">
        <f t="shared" si="2"/>
        <v>116.59405449592236</v>
      </c>
      <c r="R11" s="7">
        <f t="shared" si="2"/>
        <v>23.667671849531569</v>
      </c>
    </row>
    <row r="12" spans="1:18" ht="15" thickBot="1" x14ac:dyDescent="0.4">
      <c r="A12" t="s">
        <v>26</v>
      </c>
      <c r="B12">
        <v>19</v>
      </c>
      <c r="C12" t="s">
        <v>12</v>
      </c>
      <c r="D12">
        <v>86.823432187811136</v>
      </c>
      <c r="E12">
        <v>137.5525511065108</v>
      </c>
      <c r="F12">
        <v>148.8184777874595</v>
      </c>
      <c r="G12">
        <v>27.957135595425299</v>
      </c>
      <c r="H12">
        <v>416.84824177243252</v>
      </c>
      <c r="I12">
        <v>449.50279347255628</v>
      </c>
      <c r="J12">
        <v>422.72586749450801</v>
      </c>
      <c r="K12">
        <v>400.10234501837192</v>
      </c>
      <c r="N12" s="8" t="s">
        <v>84</v>
      </c>
      <c r="O12" s="9">
        <f>AVERAGE(D35:D67)</f>
        <v>73.731341932425181</v>
      </c>
      <c r="P12" s="9">
        <f t="shared" ref="P12:R12" si="3">AVERAGE(E35:E67)</f>
        <v>117.48695217896316</v>
      </c>
      <c r="Q12" s="9">
        <f t="shared" si="3"/>
        <v>126.10667659519702</v>
      </c>
      <c r="R12" s="10">
        <f t="shared" si="3"/>
        <v>25.317063123266859</v>
      </c>
    </row>
    <row r="13" spans="1:18" ht="15" thickTop="1" x14ac:dyDescent="0.35">
      <c r="A13" t="s">
        <v>27</v>
      </c>
      <c r="B13">
        <v>33</v>
      </c>
      <c r="C13" t="s">
        <v>12</v>
      </c>
      <c r="D13">
        <v>30.766121934381921</v>
      </c>
      <c r="E13">
        <v>44.039743682502163</v>
      </c>
      <c r="F13">
        <v>36.581881447312469</v>
      </c>
      <c r="G13">
        <v>24.721430963236589</v>
      </c>
      <c r="H13">
        <v>413.14862247489589</v>
      </c>
      <c r="I13">
        <v>451.10349983725553</v>
      </c>
      <c r="J13">
        <v>410.40369496310711</v>
      </c>
      <c r="K13">
        <v>406.69990135419482</v>
      </c>
    </row>
    <row r="14" spans="1:18" x14ac:dyDescent="0.35">
      <c r="A14" t="s">
        <v>31</v>
      </c>
      <c r="B14">
        <v>80</v>
      </c>
      <c r="C14" t="s">
        <v>12</v>
      </c>
      <c r="D14">
        <v>198.09500092572199</v>
      </c>
      <c r="E14">
        <v>209.00454740982869</v>
      </c>
      <c r="F14">
        <v>337.02747504390419</v>
      </c>
      <c r="G14">
        <v>15.22752458646492</v>
      </c>
      <c r="H14">
        <v>505.76201768521298</v>
      </c>
      <c r="I14">
        <v>565.83396146383166</v>
      </c>
      <c r="J14">
        <v>497.28619293931843</v>
      </c>
      <c r="K14">
        <v>368.68422318270018</v>
      </c>
    </row>
    <row r="15" spans="1:18" x14ac:dyDescent="0.35">
      <c r="A15" t="s">
        <v>32</v>
      </c>
      <c r="B15">
        <v>495</v>
      </c>
      <c r="C15" t="s">
        <v>12</v>
      </c>
      <c r="D15">
        <v>38.858369836070679</v>
      </c>
      <c r="E15">
        <v>23.003241880869538</v>
      </c>
      <c r="F15">
        <v>55.529786383888649</v>
      </c>
      <c r="G15">
        <v>29.69081823332094</v>
      </c>
      <c r="H15">
        <v>373.3529496894771</v>
      </c>
      <c r="I15">
        <v>372.97320959068219</v>
      </c>
      <c r="J15">
        <v>380.82651312061648</v>
      </c>
      <c r="K15">
        <v>399.01944703871101</v>
      </c>
    </row>
    <row r="16" spans="1:18" x14ac:dyDescent="0.35">
      <c r="A16" t="s">
        <v>35</v>
      </c>
      <c r="B16">
        <v>147</v>
      </c>
      <c r="C16" t="s">
        <v>12</v>
      </c>
      <c r="D16">
        <v>157.75639828891099</v>
      </c>
      <c r="E16">
        <v>209.50239690610761</v>
      </c>
      <c r="F16">
        <v>129.9183484252321</v>
      </c>
      <c r="G16">
        <v>15.466662288797361</v>
      </c>
      <c r="H16">
        <v>399.38009470532103</v>
      </c>
      <c r="I16">
        <v>394.69514364353279</v>
      </c>
      <c r="J16">
        <v>379.86227938982069</v>
      </c>
      <c r="K16">
        <v>347.22455284469203</v>
      </c>
    </row>
    <row r="17" spans="1:11" x14ac:dyDescent="0.35">
      <c r="A17" t="s">
        <v>40</v>
      </c>
      <c r="B17">
        <v>44</v>
      </c>
      <c r="C17" t="s">
        <v>12</v>
      </c>
      <c r="D17">
        <v>26.514968970004919</v>
      </c>
      <c r="E17">
        <v>27.930890454349871</v>
      </c>
      <c r="F17">
        <v>42.841332240449987</v>
      </c>
      <c r="G17">
        <v>27.092258521692589</v>
      </c>
      <c r="H17">
        <v>401.24140347035029</v>
      </c>
      <c r="I17">
        <v>390.58785075394218</v>
      </c>
      <c r="J17">
        <v>385.15892322945092</v>
      </c>
      <c r="K17">
        <v>376.91842529035341</v>
      </c>
    </row>
    <row r="18" spans="1:11" x14ac:dyDescent="0.35">
      <c r="A18" t="s">
        <v>41</v>
      </c>
      <c r="B18">
        <v>100</v>
      </c>
      <c r="C18" t="s">
        <v>12</v>
      </c>
      <c r="D18">
        <v>24.227225068400369</v>
      </c>
      <c r="E18">
        <v>35.480122730762197</v>
      </c>
      <c r="F18">
        <v>37.736667367152322</v>
      </c>
      <c r="G18">
        <v>21.86016814579628</v>
      </c>
      <c r="H18">
        <v>353.42302267168043</v>
      </c>
      <c r="I18">
        <v>357.69953615911032</v>
      </c>
      <c r="J18">
        <v>341.00883908011042</v>
      </c>
      <c r="K18">
        <v>360.39677598267832</v>
      </c>
    </row>
    <row r="19" spans="1:11" x14ac:dyDescent="0.35">
      <c r="A19" t="s">
        <v>42</v>
      </c>
      <c r="B19">
        <v>48</v>
      </c>
      <c r="C19" t="s">
        <v>12</v>
      </c>
      <c r="D19">
        <v>26.98944663668691</v>
      </c>
      <c r="E19">
        <v>33.895915994301347</v>
      </c>
      <c r="F19">
        <v>37.256565678364083</v>
      </c>
      <c r="G19">
        <v>11.128145913861321</v>
      </c>
      <c r="H19">
        <v>312.23451990534687</v>
      </c>
      <c r="I19">
        <v>355.43723262233408</v>
      </c>
      <c r="J19">
        <v>308.78392064557579</v>
      </c>
      <c r="K19">
        <v>333.21999986488811</v>
      </c>
    </row>
    <row r="20" spans="1:11" x14ac:dyDescent="0.35">
      <c r="A20" t="s">
        <v>47</v>
      </c>
      <c r="B20">
        <v>77</v>
      </c>
      <c r="C20" t="s">
        <v>12</v>
      </c>
      <c r="D20">
        <v>60.699558981672652</v>
      </c>
      <c r="E20">
        <v>31.472697816142691</v>
      </c>
      <c r="F20">
        <v>208.58516339246131</v>
      </c>
      <c r="G20">
        <v>26.271065972465401</v>
      </c>
      <c r="H20">
        <v>399.1300962386066</v>
      </c>
      <c r="I20">
        <v>400.92148896127702</v>
      </c>
      <c r="J20">
        <v>443.13309694196153</v>
      </c>
      <c r="K20">
        <v>348.19454483269311</v>
      </c>
    </row>
    <row r="21" spans="1:11" x14ac:dyDescent="0.35">
      <c r="A21" t="s">
        <v>48</v>
      </c>
      <c r="B21">
        <v>21</v>
      </c>
      <c r="C21" t="s">
        <v>12</v>
      </c>
      <c r="D21">
        <v>77.899336063102595</v>
      </c>
      <c r="E21">
        <v>133.0433501484159</v>
      </c>
      <c r="F21">
        <v>244.22639878160419</v>
      </c>
      <c r="G21">
        <v>26.567574003844118</v>
      </c>
      <c r="H21">
        <v>425.51980766516073</v>
      </c>
      <c r="I21">
        <v>413.44261080633879</v>
      </c>
      <c r="J21">
        <v>449.4966738688878</v>
      </c>
      <c r="K21">
        <v>405.34106027925668</v>
      </c>
    </row>
    <row r="22" spans="1:11" x14ac:dyDescent="0.35">
      <c r="A22" t="s">
        <v>49</v>
      </c>
      <c r="B22">
        <v>335</v>
      </c>
      <c r="C22" t="s">
        <v>12</v>
      </c>
      <c r="D22">
        <v>22.197274090792799</v>
      </c>
      <c r="E22">
        <v>33.297934879256367</v>
      </c>
      <c r="F22">
        <v>42.568472613113883</v>
      </c>
      <c r="G22">
        <v>31.327722143945099</v>
      </c>
      <c r="H22">
        <v>366.07114517867598</v>
      </c>
      <c r="I22">
        <v>372.00312551132578</v>
      </c>
      <c r="J22">
        <v>336.37134038928968</v>
      </c>
      <c r="K22">
        <v>401.89676721359422</v>
      </c>
    </row>
    <row r="23" spans="1:11" x14ac:dyDescent="0.35">
      <c r="A23" t="s">
        <v>50</v>
      </c>
      <c r="B23">
        <v>75</v>
      </c>
      <c r="C23" t="s">
        <v>12</v>
      </c>
      <c r="D23">
        <v>30.51539293609839</v>
      </c>
      <c r="E23">
        <v>82.40253240156062</v>
      </c>
      <c r="F23">
        <v>57.310576672544023</v>
      </c>
      <c r="G23">
        <v>23.465951776886801</v>
      </c>
      <c r="H23">
        <v>353.14243573105267</v>
      </c>
      <c r="I23">
        <v>298.29014664535418</v>
      </c>
      <c r="J23">
        <v>359.74644074030402</v>
      </c>
      <c r="K23">
        <v>437.44595277098568</v>
      </c>
    </row>
    <row r="24" spans="1:11" x14ac:dyDescent="0.35">
      <c r="A24" t="s">
        <v>51</v>
      </c>
      <c r="B24">
        <v>86</v>
      </c>
      <c r="C24" t="s">
        <v>12</v>
      </c>
      <c r="D24">
        <v>15.676860792558641</v>
      </c>
      <c r="E24">
        <v>24.95662483006106</v>
      </c>
      <c r="F24">
        <v>36.583952298580613</v>
      </c>
      <c r="G24">
        <v>73.12951840352693</v>
      </c>
      <c r="H24">
        <v>404.67525596252852</v>
      </c>
      <c r="I24">
        <v>410.05361250495127</v>
      </c>
      <c r="J24">
        <v>373.71512291049578</v>
      </c>
      <c r="K24">
        <v>365.21688882470858</v>
      </c>
    </row>
    <row r="25" spans="1:11" x14ac:dyDescent="0.35">
      <c r="A25" t="s">
        <v>52</v>
      </c>
      <c r="B25">
        <v>25</v>
      </c>
      <c r="C25" t="s">
        <v>12</v>
      </c>
      <c r="D25">
        <v>58.844800566193008</v>
      </c>
      <c r="E25">
        <v>90.615389497732849</v>
      </c>
      <c r="F25">
        <v>112.7879927934196</v>
      </c>
      <c r="G25">
        <v>19.43876498424979</v>
      </c>
      <c r="H25">
        <v>419.13865415251769</v>
      </c>
      <c r="I25">
        <v>405.01941746680922</v>
      </c>
      <c r="J25">
        <v>390.88814554169801</v>
      </c>
      <c r="K25">
        <v>371.66055821416597</v>
      </c>
    </row>
    <row r="26" spans="1:11" x14ac:dyDescent="0.35">
      <c r="A26" t="s">
        <v>57</v>
      </c>
      <c r="B26">
        <v>60</v>
      </c>
      <c r="C26" t="s">
        <v>12</v>
      </c>
      <c r="D26">
        <v>48.132329238563791</v>
      </c>
      <c r="E26">
        <v>70.18269765958317</v>
      </c>
      <c r="F26">
        <v>93.555964526333838</v>
      </c>
      <c r="G26">
        <v>10.270982158460781</v>
      </c>
      <c r="H26">
        <v>339.50226684665591</v>
      </c>
      <c r="I26">
        <v>341.78751798734248</v>
      </c>
      <c r="J26">
        <v>358.56064050986407</v>
      </c>
      <c r="K26">
        <v>361.57224353690611</v>
      </c>
    </row>
    <row r="27" spans="1:11" x14ac:dyDescent="0.35">
      <c r="A27" t="s">
        <v>59</v>
      </c>
      <c r="B27">
        <v>134</v>
      </c>
      <c r="C27" t="s">
        <v>12</v>
      </c>
      <c r="D27">
        <v>24.067675084096521</v>
      </c>
      <c r="E27">
        <v>45.551283034671343</v>
      </c>
      <c r="F27">
        <v>35.332196394666482</v>
      </c>
      <c r="G27">
        <v>35.330973983850477</v>
      </c>
      <c r="H27">
        <v>353.23026285364409</v>
      </c>
      <c r="I27">
        <v>436.12092907185018</v>
      </c>
      <c r="J27">
        <v>283.82788317154279</v>
      </c>
      <c r="K27">
        <v>299.94876454097539</v>
      </c>
    </row>
    <row r="28" spans="1:11" x14ac:dyDescent="0.35">
      <c r="A28" t="s">
        <v>60</v>
      </c>
      <c r="B28">
        <v>62</v>
      </c>
      <c r="C28" t="s">
        <v>12</v>
      </c>
      <c r="D28">
        <v>26.945203084574931</v>
      </c>
      <c r="E28">
        <v>22.423372885417809</v>
      </c>
      <c r="F28">
        <v>54.469166827601782</v>
      </c>
      <c r="G28">
        <v>38.667004176022338</v>
      </c>
      <c r="H28">
        <v>399.44864226640658</v>
      </c>
      <c r="I28">
        <v>402.10594182481708</v>
      </c>
      <c r="J28">
        <v>422.90907304513883</v>
      </c>
      <c r="K28">
        <v>435.5821677117242</v>
      </c>
    </row>
    <row r="29" spans="1:11" x14ac:dyDescent="0.35">
      <c r="A29" t="s">
        <v>63</v>
      </c>
      <c r="B29">
        <v>12</v>
      </c>
      <c r="C29" t="s">
        <v>12</v>
      </c>
      <c r="D29">
        <v>109.73707886519161</v>
      </c>
      <c r="E29">
        <v>261.13776919725211</v>
      </c>
      <c r="F29">
        <v>226.34339234893409</v>
      </c>
      <c r="G29">
        <v>11.605070703761021</v>
      </c>
      <c r="H29">
        <v>489.83552856883159</v>
      </c>
      <c r="I29">
        <v>261.13776919725211</v>
      </c>
      <c r="J29">
        <v>496.22675882897698</v>
      </c>
      <c r="K29">
        <v>505.79575177022258</v>
      </c>
    </row>
    <row r="30" spans="1:11" x14ac:dyDescent="0.35">
      <c r="A30" t="s">
        <v>64</v>
      </c>
      <c r="B30">
        <v>18</v>
      </c>
      <c r="C30" t="s">
        <v>12</v>
      </c>
      <c r="D30">
        <v>92.342254873128724</v>
      </c>
      <c r="E30">
        <v>112.6809640903937</v>
      </c>
      <c r="F30">
        <v>52.144533677607292</v>
      </c>
      <c r="G30">
        <v>17.5963816071284</v>
      </c>
      <c r="H30">
        <v>320.04098190997871</v>
      </c>
      <c r="I30">
        <v>338.44022593256699</v>
      </c>
      <c r="J30">
        <v>355.71090011217842</v>
      </c>
      <c r="K30">
        <v>371.69817777284209</v>
      </c>
    </row>
    <row r="31" spans="1:11" x14ac:dyDescent="0.35">
      <c r="A31" t="s">
        <v>66</v>
      </c>
      <c r="B31">
        <v>127</v>
      </c>
      <c r="C31" t="s">
        <v>12</v>
      </c>
      <c r="D31">
        <v>145.79226907872891</v>
      </c>
      <c r="E31">
        <v>119.243151091578</v>
      </c>
      <c r="F31">
        <v>227.21588577516371</v>
      </c>
      <c r="G31">
        <v>18.594188650084359</v>
      </c>
      <c r="H31">
        <v>416.81494970243853</v>
      </c>
      <c r="I31">
        <v>398.62160931867243</v>
      </c>
      <c r="J31">
        <v>405.1202850903386</v>
      </c>
      <c r="K31">
        <v>423.23411992886292</v>
      </c>
    </row>
    <row r="32" spans="1:11" x14ac:dyDescent="0.35">
      <c r="A32" t="s">
        <v>67</v>
      </c>
      <c r="B32">
        <v>124</v>
      </c>
      <c r="C32" t="s">
        <v>12</v>
      </c>
      <c r="D32">
        <v>45.350272058957557</v>
      </c>
      <c r="E32">
        <v>58.700289697901027</v>
      </c>
      <c r="F32">
        <v>77.516673409048039</v>
      </c>
      <c r="G32">
        <v>20.95128439121024</v>
      </c>
      <c r="H32">
        <v>406.9102608456771</v>
      </c>
      <c r="I32">
        <v>406.78224130167632</v>
      </c>
      <c r="J32">
        <v>405.86090497093301</v>
      </c>
      <c r="K32">
        <v>392.22590157363243</v>
      </c>
    </row>
    <row r="33" spans="1:11" x14ac:dyDescent="0.35">
      <c r="A33" t="s">
        <v>68</v>
      </c>
      <c r="B33">
        <v>49</v>
      </c>
      <c r="C33" t="s">
        <v>12</v>
      </c>
      <c r="D33">
        <v>53.222482281183758</v>
      </c>
      <c r="E33">
        <v>63.298469519821687</v>
      </c>
      <c r="F33">
        <v>65.863865836910421</v>
      </c>
      <c r="G33">
        <v>12.90970715156589</v>
      </c>
      <c r="H33">
        <v>376.16375212277097</v>
      </c>
      <c r="I33">
        <v>368.43490525946271</v>
      </c>
      <c r="J33">
        <v>378.11113342938671</v>
      </c>
      <c r="K33">
        <v>381.35022296080172</v>
      </c>
    </row>
    <row r="34" spans="1:11" x14ac:dyDescent="0.35">
      <c r="A34" t="s">
        <v>69</v>
      </c>
      <c r="B34">
        <v>80</v>
      </c>
      <c r="C34" t="s">
        <v>12</v>
      </c>
      <c r="D34">
        <v>35.845989483527148</v>
      </c>
      <c r="E34">
        <v>55.900912828113093</v>
      </c>
      <c r="F34">
        <v>41.448538191005717</v>
      </c>
      <c r="G34">
        <v>27.37782151530843</v>
      </c>
      <c r="H34">
        <v>334.77724853747748</v>
      </c>
      <c r="I34">
        <v>305.6194814065322</v>
      </c>
      <c r="J34">
        <v>356.88648271383181</v>
      </c>
      <c r="K34">
        <v>410.83967206156052</v>
      </c>
    </row>
    <row r="35" spans="1:11" x14ac:dyDescent="0.35">
      <c r="A35" t="s">
        <v>17</v>
      </c>
      <c r="B35">
        <v>5</v>
      </c>
      <c r="C35" t="s">
        <v>18</v>
      </c>
      <c r="D35">
        <v>95.952061780353603</v>
      </c>
      <c r="F35">
        <v>191.8574369369565</v>
      </c>
      <c r="G35">
        <v>10.28284606445969</v>
      </c>
      <c r="H35">
        <v>482.95669182112181</v>
      </c>
      <c r="J35">
        <v>362.76347828603468</v>
      </c>
      <c r="K35">
        <v>446.3343062424355</v>
      </c>
    </row>
    <row r="36" spans="1:11" x14ac:dyDescent="0.35">
      <c r="A36" t="s">
        <v>19</v>
      </c>
      <c r="B36">
        <v>29</v>
      </c>
      <c r="C36" t="s">
        <v>18</v>
      </c>
      <c r="D36">
        <v>91.71700113373214</v>
      </c>
      <c r="E36">
        <v>50.58835564570748</v>
      </c>
      <c r="F36">
        <v>573.29576775519558</v>
      </c>
      <c r="G36">
        <v>79.245818219534939</v>
      </c>
      <c r="H36">
        <v>403.76236488191728</v>
      </c>
      <c r="I36">
        <v>465.33915893749509</v>
      </c>
      <c r="J36">
        <v>573.29576775519558</v>
      </c>
      <c r="K36">
        <v>370.05124866902253</v>
      </c>
    </row>
    <row r="37" spans="1:11" x14ac:dyDescent="0.35">
      <c r="A37" t="s">
        <v>20</v>
      </c>
      <c r="B37">
        <v>54</v>
      </c>
      <c r="C37" t="s">
        <v>18</v>
      </c>
      <c r="D37">
        <v>127.0414892215851</v>
      </c>
      <c r="E37">
        <v>161.79046065770581</v>
      </c>
      <c r="F37">
        <v>193.4390885246533</v>
      </c>
      <c r="G37">
        <v>16.599355594149358</v>
      </c>
      <c r="H37">
        <v>444.57000559024959</v>
      </c>
      <c r="I37">
        <v>469.29795805113702</v>
      </c>
      <c r="J37">
        <v>477.60802690206509</v>
      </c>
      <c r="K37">
        <v>396.91837570010819</v>
      </c>
    </row>
    <row r="38" spans="1:11" x14ac:dyDescent="0.35">
      <c r="A38" t="s">
        <v>28</v>
      </c>
      <c r="B38">
        <v>42</v>
      </c>
      <c r="C38" t="s">
        <v>18</v>
      </c>
      <c r="D38">
        <v>56.611725681597093</v>
      </c>
      <c r="E38">
        <v>139.1030672878758</v>
      </c>
      <c r="F38">
        <v>91.895401500037494</v>
      </c>
      <c r="G38">
        <v>24.01054211217313</v>
      </c>
      <c r="H38">
        <v>406.31802223501558</v>
      </c>
      <c r="I38">
        <v>461.4504742414772</v>
      </c>
      <c r="J38">
        <v>423.70214873900591</v>
      </c>
      <c r="K38">
        <v>396.58512384641921</v>
      </c>
    </row>
    <row r="39" spans="1:11" x14ac:dyDescent="0.35">
      <c r="A39" t="s">
        <v>29</v>
      </c>
      <c r="B39">
        <v>458</v>
      </c>
      <c r="C39" t="s">
        <v>18</v>
      </c>
      <c r="D39">
        <v>65.001757273467902</v>
      </c>
      <c r="E39">
        <v>43.860218685961733</v>
      </c>
      <c r="F39">
        <v>92.983017447037724</v>
      </c>
      <c r="G39">
        <v>17.231497919734071</v>
      </c>
      <c r="H39">
        <v>345.52684228687423</v>
      </c>
      <c r="I39">
        <v>340.95971503899079</v>
      </c>
      <c r="J39">
        <v>349.27117327367802</v>
      </c>
      <c r="K39">
        <v>408.81734039456319</v>
      </c>
    </row>
    <row r="40" spans="1:11" x14ac:dyDescent="0.35">
      <c r="A40" t="s">
        <v>30</v>
      </c>
      <c r="B40">
        <v>416</v>
      </c>
      <c r="C40" t="s">
        <v>18</v>
      </c>
      <c r="D40">
        <v>83.028796498862903</v>
      </c>
      <c r="E40">
        <v>71.287098259342031</v>
      </c>
      <c r="F40">
        <v>130.9636023752484</v>
      </c>
      <c r="G40">
        <v>15.836556562469269</v>
      </c>
      <c r="H40">
        <v>398.04948882641889</v>
      </c>
      <c r="I40">
        <v>393.38916107738578</v>
      </c>
      <c r="J40">
        <v>401.22822159322033</v>
      </c>
      <c r="K40">
        <v>368.02768399560898</v>
      </c>
    </row>
    <row r="41" spans="1:11" x14ac:dyDescent="0.35">
      <c r="A41" t="s">
        <v>33</v>
      </c>
      <c r="B41">
        <v>96</v>
      </c>
      <c r="C41" t="s">
        <v>18</v>
      </c>
      <c r="D41">
        <v>32.414671865407158</v>
      </c>
      <c r="E41">
        <v>33.564519055947748</v>
      </c>
      <c r="F41">
        <v>60.321476631033057</v>
      </c>
      <c r="G41">
        <v>18.091963649755549</v>
      </c>
      <c r="H41">
        <v>383.9118653614496</v>
      </c>
      <c r="I41">
        <v>394.86238272033529</v>
      </c>
      <c r="J41">
        <v>364.16552552936167</v>
      </c>
      <c r="K41">
        <v>370.26474052585701</v>
      </c>
    </row>
    <row r="42" spans="1:11" x14ac:dyDescent="0.35">
      <c r="A42" t="s">
        <v>34</v>
      </c>
      <c r="B42">
        <v>43</v>
      </c>
      <c r="C42" t="s">
        <v>18</v>
      </c>
      <c r="D42">
        <v>157.1695900673632</v>
      </c>
      <c r="E42">
        <v>452.26091429252358</v>
      </c>
      <c r="G42">
        <v>11.210362501833741</v>
      </c>
      <c r="H42">
        <v>615.41199521940575</v>
      </c>
      <c r="I42">
        <v>565.14299075157919</v>
      </c>
      <c r="K42">
        <v>427.6650536975892</v>
      </c>
    </row>
    <row r="43" spans="1:11" x14ac:dyDescent="0.35">
      <c r="A43" t="s">
        <v>36</v>
      </c>
      <c r="B43">
        <v>78</v>
      </c>
      <c r="C43" t="s">
        <v>18</v>
      </c>
      <c r="D43">
        <v>32.862954557960613</v>
      </c>
      <c r="E43">
        <v>29.30766691598058</v>
      </c>
      <c r="F43">
        <v>58.327163555998808</v>
      </c>
      <c r="G43">
        <v>65.340046700283978</v>
      </c>
      <c r="H43">
        <v>314.92141321716002</v>
      </c>
      <c r="I43">
        <v>302.2424751889194</v>
      </c>
      <c r="J43">
        <v>351.07563311842262</v>
      </c>
      <c r="K43">
        <v>464.01438700261582</v>
      </c>
    </row>
    <row r="44" spans="1:11" x14ac:dyDescent="0.35">
      <c r="A44" t="s">
        <v>37</v>
      </c>
      <c r="B44">
        <v>38</v>
      </c>
      <c r="C44" t="s">
        <v>18</v>
      </c>
      <c r="D44">
        <v>42.174163843223148</v>
      </c>
      <c r="E44">
        <v>53.632066786364483</v>
      </c>
      <c r="F44">
        <v>71.73497288331221</v>
      </c>
      <c r="G44">
        <v>11.13986017896976</v>
      </c>
      <c r="H44">
        <v>424.95132148329611</v>
      </c>
      <c r="I44">
        <v>439.62899346820922</v>
      </c>
      <c r="J44">
        <v>435.98867231614668</v>
      </c>
      <c r="K44">
        <v>431.02577304273382</v>
      </c>
    </row>
    <row r="45" spans="1:11" x14ac:dyDescent="0.35">
      <c r="A45" t="s">
        <v>38</v>
      </c>
      <c r="B45">
        <v>14</v>
      </c>
      <c r="C45" t="s">
        <v>18</v>
      </c>
      <c r="D45">
        <v>126.9799700740049</v>
      </c>
      <c r="E45">
        <v>162.07028163118969</v>
      </c>
      <c r="F45">
        <v>164.57093868050831</v>
      </c>
      <c r="G45">
        <v>15.991463717523359</v>
      </c>
      <c r="H45">
        <v>523.20873505511861</v>
      </c>
      <c r="I45">
        <v>543.28250605443202</v>
      </c>
      <c r="J45">
        <v>412.38703977632491</v>
      </c>
      <c r="K45">
        <v>350.38293551849108</v>
      </c>
    </row>
    <row r="46" spans="1:11" x14ac:dyDescent="0.35">
      <c r="A46" t="s">
        <v>39</v>
      </c>
      <c r="B46">
        <v>22</v>
      </c>
      <c r="C46" t="s">
        <v>18</v>
      </c>
      <c r="D46">
        <v>55.291681493457482</v>
      </c>
      <c r="E46">
        <v>66.679942252024688</v>
      </c>
      <c r="F46">
        <v>45.261438386854543</v>
      </c>
      <c r="G46">
        <v>15.383426445738831</v>
      </c>
      <c r="H46">
        <v>384.91023860758651</v>
      </c>
      <c r="I46">
        <v>310.63575289638578</v>
      </c>
      <c r="J46">
        <v>376.86666337313551</v>
      </c>
      <c r="K46">
        <v>511.85507380384217</v>
      </c>
    </row>
    <row r="47" spans="1:11" x14ac:dyDescent="0.35">
      <c r="A47" t="s">
        <v>43</v>
      </c>
      <c r="B47">
        <v>71</v>
      </c>
      <c r="C47" t="s">
        <v>18</v>
      </c>
      <c r="D47">
        <v>25.458334546352621</v>
      </c>
      <c r="E47">
        <v>27.56141082978565</v>
      </c>
      <c r="F47">
        <v>44.432831365430992</v>
      </c>
      <c r="G47">
        <v>26.762162283832058</v>
      </c>
      <c r="H47">
        <v>343.01850166562031</v>
      </c>
      <c r="I47">
        <v>348.93211868555733</v>
      </c>
      <c r="J47">
        <v>344.02351834087563</v>
      </c>
      <c r="K47">
        <v>378.48732880361229</v>
      </c>
    </row>
    <row r="48" spans="1:11" x14ac:dyDescent="0.35">
      <c r="A48" t="s">
        <v>44</v>
      </c>
      <c r="B48">
        <v>20</v>
      </c>
      <c r="C48" t="s">
        <v>18</v>
      </c>
      <c r="D48">
        <v>36.115000207075248</v>
      </c>
      <c r="E48">
        <v>61.930988311744741</v>
      </c>
      <c r="F48">
        <v>52.7106501263127</v>
      </c>
      <c r="G48">
        <v>20.18191692693793</v>
      </c>
      <c r="H48">
        <v>362.78025391217813</v>
      </c>
      <c r="I48">
        <v>317.62034077392468</v>
      </c>
      <c r="J48">
        <v>366.11102814828041</v>
      </c>
      <c r="K48">
        <v>381.06058054605012</v>
      </c>
    </row>
    <row r="49" spans="1:11" x14ac:dyDescent="0.35">
      <c r="A49" t="s">
        <v>45</v>
      </c>
      <c r="B49">
        <v>69</v>
      </c>
      <c r="C49" t="s">
        <v>18</v>
      </c>
      <c r="D49">
        <v>27.141428170684911</v>
      </c>
      <c r="E49">
        <v>74.205514562532983</v>
      </c>
      <c r="F49">
        <v>50.795139394736069</v>
      </c>
      <c r="G49">
        <v>13.876890987594409</v>
      </c>
      <c r="H49">
        <v>437.29671802253648</v>
      </c>
      <c r="I49">
        <v>450.16820371038369</v>
      </c>
      <c r="J49">
        <v>424.48849183203077</v>
      </c>
      <c r="K49">
        <v>362.98327767688102</v>
      </c>
    </row>
    <row r="50" spans="1:11" x14ac:dyDescent="0.35">
      <c r="A50" t="s">
        <v>46</v>
      </c>
      <c r="B50">
        <v>12</v>
      </c>
      <c r="C50" t="s">
        <v>18</v>
      </c>
      <c r="D50">
        <v>38.76855960345658</v>
      </c>
      <c r="E50">
        <v>58.160357767798907</v>
      </c>
      <c r="F50">
        <v>63.131696409314458</v>
      </c>
      <c r="G50">
        <v>27.992737517673032</v>
      </c>
      <c r="H50">
        <v>309.89218013465592</v>
      </c>
      <c r="I50">
        <v>336.03554179181032</v>
      </c>
      <c r="J50">
        <v>330.44036703039092</v>
      </c>
      <c r="K50">
        <v>386.89860148852949</v>
      </c>
    </row>
    <row r="51" spans="1:11" x14ac:dyDescent="0.35">
      <c r="A51" t="s">
        <v>53</v>
      </c>
      <c r="B51">
        <v>40</v>
      </c>
      <c r="C51" t="s">
        <v>18</v>
      </c>
      <c r="D51">
        <v>102.2273523737079</v>
      </c>
      <c r="E51">
        <v>94.377073315763724</v>
      </c>
      <c r="F51">
        <v>248.7240832590131</v>
      </c>
      <c r="G51">
        <v>14.764428597060119</v>
      </c>
      <c r="H51">
        <v>509.11392537154251</v>
      </c>
      <c r="I51">
        <v>444.5394387903192</v>
      </c>
      <c r="J51">
        <v>452.98134172715493</v>
      </c>
      <c r="K51">
        <v>437.48115353530579</v>
      </c>
    </row>
    <row r="52" spans="1:11" x14ac:dyDescent="0.35">
      <c r="A52" t="s">
        <v>54</v>
      </c>
      <c r="B52">
        <v>111</v>
      </c>
      <c r="C52" t="s">
        <v>18</v>
      </c>
      <c r="D52">
        <v>39.531777047755639</v>
      </c>
      <c r="E52">
        <v>68.82993429858297</v>
      </c>
      <c r="F52">
        <v>78.35808245663813</v>
      </c>
      <c r="G52">
        <v>88.061706532621713</v>
      </c>
      <c r="H52">
        <v>328.38018664395059</v>
      </c>
      <c r="I52">
        <v>304.35343389705952</v>
      </c>
      <c r="J52">
        <v>323.05239826335497</v>
      </c>
      <c r="K52">
        <v>425.28636284344708</v>
      </c>
    </row>
    <row r="53" spans="1:11" x14ac:dyDescent="0.35">
      <c r="A53" t="s">
        <v>55</v>
      </c>
      <c r="B53">
        <v>174</v>
      </c>
      <c r="C53" t="s">
        <v>18</v>
      </c>
      <c r="D53">
        <v>365.3432181055515</v>
      </c>
      <c r="F53">
        <v>589.78607001776163</v>
      </c>
      <c r="G53">
        <v>9.0162709181267644</v>
      </c>
      <c r="H53">
        <v>620.04476798631129</v>
      </c>
      <c r="J53">
        <v>623.47095650546771</v>
      </c>
      <c r="K53">
        <v>398.00357604739531</v>
      </c>
    </row>
    <row r="54" spans="1:11" x14ac:dyDescent="0.35">
      <c r="A54" t="s">
        <v>56</v>
      </c>
      <c r="B54">
        <v>73</v>
      </c>
      <c r="C54" t="s">
        <v>18</v>
      </c>
      <c r="D54">
        <v>49.727587386255557</v>
      </c>
      <c r="E54">
        <v>95.758881643316855</v>
      </c>
      <c r="F54">
        <v>91.643737142682156</v>
      </c>
      <c r="G54">
        <v>32.109877716184577</v>
      </c>
      <c r="H54">
        <v>404.99950839556197</v>
      </c>
      <c r="I54">
        <v>407.03622005894118</v>
      </c>
      <c r="J54">
        <v>384.84750083257723</v>
      </c>
      <c r="K54">
        <v>473.64106558435049</v>
      </c>
    </row>
    <row r="55" spans="1:11" x14ac:dyDescent="0.35">
      <c r="A55" t="s">
        <v>58</v>
      </c>
      <c r="B55">
        <v>27</v>
      </c>
      <c r="C55" t="s">
        <v>18</v>
      </c>
      <c r="D55">
        <v>23.646259520680751</v>
      </c>
      <c r="E55">
        <v>23.301729159894919</v>
      </c>
      <c r="F55">
        <v>32.020454442657062</v>
      </c>
      <c r="G55">
        <v>29.24683532529318</v>
      </c>
      <c r="H55">
        <v>412.25009682312958</v>
      </c>
      <c r="I55">
        <v>403.94176964511178</v>
      </c>
      <c r="J55">
        <v>384.67230012765248</v>
      </c>
      <c r="K55">
        <v>381.49650965448711</v>
      </c>
    </row>
    <row r="56" spans="1:11" x14ac:dyDescent="0.35">
      <c r="A56" t="s">
        <v>61</v>
      </c>
      <c r="B56">
        <v>15</v>
      </c>
      <c r="C56" t="s">
        <v>18</v>
      </c>
      <c r="D56">
        <v>72.714689975159317</v>
      </c>
      <c r="E56">
        <v>66.101522588720599</v>
      </c>
      <c r="F56">
        <v>120.5457044660088</v>
      </c>
      <c r="G56">
        <v>14.964361514912859</v>
      </c>
      <c r="H56">
        <v>342.82560544463342</v>
      </c>
      <c r="I56">
        <v>349.31096101940142</v>
      </c>
      <c r="J56">
        <v>356.34237670949801</v>
      </c>
      <c r="K56">
        <v>347.31626573204932</v>
      </c>
    </row>
    <row r="57" spans="1:11" x14ac:dyDescent="0.35">
      <c r="A57" t="s">
        <v>62</v>
      </c>
      <c r="B57">
        <v>9</v>
      </c>
      <c r="C57" t="s">
        <v>18</v>
      </c>
      <c r="D57">
        <v>105.206539158872</v>
      </c>
      <c r="F57">
        <v>92.70002733563615</v>
      </c>
      <c r="G57">
        <v>11.573012256991049</v>
      </c>
      <c r="H57">
        <v>451.72797575651612</v>
      </c>
      <c r="J57">
        <v>428.06619908093688</v>
      </c>
      <c r="K57">
        <v>417.46739001997003</v>
      </c>
    </row>
    <row r="58" spans="1:11" x14ac:dyDescent="0.35">
      <c r="A58" t="s">
        <v>65</v>
      </c>
      <c r="B58">
        <v>37</v>
      </c>
      <c r="C58" t="s">
        <v>18</v>
      </c>
      <c r="D58">
        <v>36.038054247813292</v>
      </c>
      <c r="E58">
        <v>38.645026339439731</v>
      </c>
      <c r="F58">
        <v>53.884552536286201</v>
      </c>
      <c r="G58">
        <v>35.144824107681757</v>
      </c>
      <c r="H58">
        <v>385.50033033582048</v>
      </c>
      <c r="I58">
        <v>388.72324441609669</v>
      </c>
      <c r="J58">
        <v>398.51141167916899</v>
      </c>
      <c r="K58">
        <v>418.1757592887202</v>
      </c>
    </row>
    <row r="59" spans="1:11" x14ac:dyDescent="0.35">
      <c r="A59" t="s">
        <v>70</v>
      </c>
      <c r="B59">
        <v>86</v>
      </c>
      <c r="C59" t="s">
        <v>18</v>
      </c>
      <c r="D59">
        <v>70.429943311341063</v>
      </c>
      <c r="E59">
        <v>387.15973288533269</v>
      </c>
      <c r="F59">
        <v>80.646038275832922</v>
      </c>
      <c r="G59">
        <v>12.83595735389293</v>
      </c>
      <c r="H59">
        <v>373.74109350649837</v>
      </c>
      <c r="I59">
        <v>465.01864148567921</v>
      </c>
      <c r="J59">
        <v>376.44738017325409</v>
      </c>
      <c r="K59">
        <v>403.73477698192102</v>
      </c>
    </row>
    <row r="60" spans="1:11" x14ac:dyDescent="0.35">
      <c r="A60" t="s">
        <v>71</v>
      </c>
      <c r="B60">
        <v>23</v>
      </c>
      <c r="C60" t="s">
        <v>18</v>
      </c>
      <c r="D60">
        <v>23.93122205842781</v>
      </c>
      <c r="E60">
        <v>41.473983415842703</v>
      </c>
      <c r="F60">
        <v>39.748495450251177</v>
      </c>
      <c r="G60">
        <v>28.25151192193804</v>
      </c>
      <c r="H60">
        <v>405.11436593671249</v>
      </c>
      <c r="I60">
        <v>411.50221596246132</v>
      </c>
      <c r="J60">
        <v>393.85634613005129</v>
      </c>
      <c r="K60">
        <v>400.97049935362622</v>
      </c>
    </row>
    <row r="61" spans="1:11" x14ac:dyDescent="0.35">
      <c r="A61" t="s">
        <v>72</v>
      </c>
      <c r="B61">
        <v>23</v>
      </c>
      <c r="C61" t="s">
        <v>18</v>
      </c>
      <c r="D61">
        <v>69.961910902257415</v>
      </c>
      <c r="F61">
        <v>299.36412438964811</v>
      </c>
      <c r="G61">
        <v>11.65924429531252</v>
      </c>
      <c r="H61">
        <v>272.03784768399231</v>
      </c>
      <c r="J61">
        <v>469.13010252823392</v>
      </c>
      <c r="K61">
        <v>393.72098226816689</v>
      </c>
    </row>
    <row r="62" spans="1:11" x14ac:dyDescent="0.35">
      <c r="A62" t="s">
        <v>73</v>
      </c>
      <c r="B62">
        <v>10</v>
      </c>
      <c r="C62" t="s">
        <v>18</v>
      </c>
      <c r="D62">
        <v>80.087220384979702</v>
      </c>
      <c r="E62">
        <v>227.53700359294791</v>
      </c>
      <c r="F62">
        <v>74.066881142635395</v>
      </c>
      <c r="G62">
        <v>30.792098949361851</v>
      </c>
      <c r="H62">
        <v>331.50523790935711</v>
      </c>
      <c r="I62">
        <v>394.92235967987199</v>
      </c>
      <c r="J62">
        <v>265.92694994666613</v>
      </c>
      <c r="K62">
        <v>378.26954993119739</v>
      </c>
    </row>
    <row r="63" spans="1:11" x14ac:dyDescent="0.35">
      <c r="A63" t="s">
        <v>74</v>
      </c>
      <c r="B63">
        <v>18</v>
      </c>
      <c r="C63" t="s">
        <v>18</v>
      </c>
      <c r="D63">
        <v>75.778988218410007</v>
      </c>
      <c r="E63">
        <v>183.079156132794</v>
      </c>
      <c r="F63">
        <v>64.614819959624185</v>
      </c>
      <c r="G63">
        <v>29.833396414303881</v>
      </c>
      <c r="H63">
        <v>302.74732907603789</v>
      </c>
      <c r="I63">
        <v>264.61323946547128</v>
      </c>
      <c r="J63">
        <v>294.53419285562597</v>
      </c>
      <c r="K63">
        <v>463.07416314469219</v>
      </c>
    </row>
    <row r="64" spans="1:11" x14ac:dyDescent="0.35">
      <c r="A64" t="s">
        <v>75</v>
      </c>
      <c r="B64">
        <v>22</v>
      </c>
      <c r="C64" t="s">
        <v>18</v>
      </c>
      <c r="D64">
        <v>63.788160401018743</v>
      </c>
      <c r="E64">
        <v>151.55507380321569</v>
      </c>
      <c r="F64">
        <v>100.8914799604001</v>
      </c>
      <c r="G64">
        <v>30.778431245289749</v>
      </c>
      <c r="H64">
        <v>336.87732566654262</v>
      </c>
      <c r="I64">
        <v>260.47336880148077</v>
      </c>
      <c r="J64">
        <v>317.28608543235072</v>
      </c>
      <c r="K64">
        <v>496.83908945555902</v>
      </c>
    </row>
    <row r="65" spans="1:11" x14ac:dyDescent="0.35">
      <c r="A65" t="s">
        <v>76</v>
      </c>
      <c r="B65">
        <v>36</v>
      </c>
      <c r="C65" t="s">
        <v>18</v>
      </c>
      <c r="D65">
        <v>55.02203758361393</v>
      </c>
      <c r="E65">
        <v>144.14126479541829</v>
      </c>
      <c r="F65">
        <v>64.205251347296496</v>
      </c>
      <c r="G65">
        <v>28.12630979436058</v>
      </c>
      <c r="H65">
        <v>419.25365855546949</v>
      </c>
      <c r="I65">
        <v>459.74262964663143</v>
      </c>
      <c r="J65">
        <v>409.79973957050248</v>
      </c>
      <c r="K65">
        <v>474.08395765448608</v>
      </c>
    </row>
    <row r="66" spans="1:11" x14ac:dyDescent="0.35">
      <c r="A66" t="s">
        <v>77</v>
      </c>
      <c r="B66">
        <v>36</v>
      </c>
      <c r="C66" t="s">
        <v>18</v>
      </c>
      <c r="D66">
        <v>48.176946718620258</v>
      </c>
      <c r="E66">
        <v>348.44929795434052</v>
      </c>
      <c r="F66">
        <v>62.653423924279913</v>
      </c>
      <c r="G66">
        <v>22.721431574079599</v>
      </c>
      <c r="H66">
        <v>370.77927897551018</v>
      </c>
      <c r="I66">
        <v>513.76939684194656</v>
      </c>
      <c r="J66">
        <v>328.5026478493412</v>
      </c>
      <c r="K66">
        <v>404.30832655184707</v>
      </c>
    </row>
    <row r="67" spans="1:11" x14ac:dyDescent="0.35">
      <c r="A67" t="s">
        <v>78</v>
      </c>
      <c r="B67">
        <v>11</v>
      </c>
      <c r="C67" t="s">
        <v>18</v>
      </c>
      <c r="D67">
        <v>57.79319035698061</v>
      </c>
      <c r="E67">
        <v>50.709070321835</v>
      </c>
      <c r="F67">
        <v>55.839802967023822</v>
      </c>
      <c r="G67">
        <v>16.40593716773185</v>
      </c>
      <c r="H67">
        <v>258.4579008592583</v>
      </c>
      <c r="I67">
        <v>296.23617275373317</v>
      </c>
      <c r="J67">
        <v>306.05329793226798</v>
      </c>
      <c r="K67">
        <v>442.97438142970782</v>
      </c>
    </row>
  </sheetData>
  <autoFilter ref="A1:K67" xr:uid="{00000000-0001-0000-0000-000000000000}">
    <sortState xmlns:xlrd2="http://schemas.microsoft.com/office/spreadsheetml/2017/richdata2" ref="A2:K67">
      <sortCondition descending="1" ref="C1:C67"/>
    </sortState>
  </autoFilter>
  <pageMargins left="0.75" right="0.75" top="1" bottom="1" header="0.5" footer="0.5"/>
  <ignoredErrors>
    <ignoredError sqref="O11:O12 Q11:R11 P12:R12 O4:O5 Q4:R4 P5 R5" formulaRange="1"/>
    <ignoredError sqref="Q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Daniel Johns</cp:lastModifiedBy>
  <dcterms:created xsi:type="dcterms:W3CDTF">2025-06-25T16:14:06Z</dcterms:created>
  <dcterms:modified xsi:type="dcterms:W3CDTF">2025-06-26T22:01:40Z</dcterms:modified>
</cp:coreProperties>
</file>